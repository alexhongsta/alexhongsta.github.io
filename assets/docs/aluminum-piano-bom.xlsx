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8" authorId="0">
      <text>
        <r>
          <rPr>
            <sz val="10"/>
            <rFont val="Arial"/>
            <family val="2"/>
          </rPr>
          <t xml:space="preserve">PLA ~$20/kg estimate; change if PRL prints are charged differently.</t>
        </r>
      </text>
    </comment>
    <comment ref="D17" authorId="0">
      <text>
        <r>
          <rPr>
            <sz val="10"/>
            <rFont val="Arial"/>
            <family val="2"/>
          </rPr>
          <t xml:space="preserve">Price estimate; McMaster hides prices off-site. Check mcmaster.com.</t>
        </r>
      </text>
    </comment>
    <comment ref="D18" authorId="0">
      <text>
        <r>
          <rPr>
            <sz val="10"/>
            <rFont val="Arial"/>
            <family val="2"/>
          </rPr>
          <t xml:space="preserve">QTY = 1 pack. Find part # with the 0.036" thickness filter on mcmaster.com/shims. Fallback: stack two 0.018" shims.</t>
        </r>
      </text>
    </comment>
    <comment ref="D19" authorId="0">
      <text>
        <r>
          <rPr>
            <sz val="10"/>
            <rFont val="Arial"/>
            <family val="2"/>
          </rPr>
          <t xml:space="preserve">QTY = 1 pack; confirm pack holds at least 16 (22 if stacking pairs to replace the 0.036" shims).</t>
        </r>
      </text>
    </comment>
    <comment ref="D20" authorId="0">
      <text>
        <r>
          <rPr>
            <sz val="10"/>
            <rFont val="Arial"/>
            <family val="2"/>
          </rPr>
          <t xml:space="preserve">Cut-to-size price is an estimate. Ace sells the full 30 x 42 in. 2.5 mm sheet for $34.99; buying the full sheet would push the total over $130.</t>
        </r>
      </text>
    </comment>
  </commentList>
</comments>
</file>

<file path=xl/sharedStrings.xml><?xml version="1.0" encoding="utf-8"?>
<sst xmlns="http://schemas.openxmlformats.org/spreadsheetml/2006/main" count="108" uniqueCount="90">
  <si>
    <t xml:space="preserve">Bill of Materials: Input Material &amp; Purchased Components</t>
  </si>
  <si>
    <t xml:space="preserve">Designer's Name</t>
  </si>
  <si>
    <t xml:space="preserve">Alex Hong</t>
  </si>
  <si>
    <t xml:space="preserve">Project Name</t>
  </si>
  <si>
    <t xml:space="preserve">Metal MIDI Keyboard (E to B: 12 white + 8 black = 20 keys)</t>
  </si>
  <si>
    <t xml:space="preserve">Part Description</t>
  </si>
  <si>
    <t xml:space="preserve">QTY</t>
  </si>
  <si>
    <t xml:space="preserve">Supplier / Source</t>
  </si>
  <si>
    <t xml:space="preserve">cost per unit</t>
  </si>
  <si>
    <t xml:space="preserve">out of pocket cost</t>
  </si>
  <si>
    <t xml:space="preserve">scavenged or free cost</t>
  </si>
  <si>
    <t xml:space="preserve">FABRICATED IN PRL  -  frame (sand cast, then milled)</t>
  </si>
  <si>
    <t xml:space="preserve">Frame casting stock: 356A aluminum ingot, sand cast in PRL foundry. Top Part (frame) 12.00" x 5.50" x 1.50" per Top_Part.step; QTY = pour weight in lb (see Assumptions)</t>
  </si>
  <si>
    <t xml:space="preserve">PRL foundry metal stock (356A)</t>
  </si>
  <si>
    <t xml:space="preserve">Frame casting pattern (TOOLING ONLY, not in final product): PLA, 3D printed (~0.30 kg), 2 deg draft, machining allowance</t>
  </si>
  <si>
    <t xml:space="preserve">PRL rapid prototyping lab (Huang 36) - filament</t>
  </si>
  <si>
    <t xml:space="preserve">Foundry consumables: oil-bonded sand, flux, crucible/furnace time, parting compound</t>
  </si>
  <si>
    <t xml:space="preserve">PRL foundry</t>
  </si>
  <si>
    <t xml:space="preserve">FABRICATED IN PRL  -  base (sand cast, then milled)</t>
  </si>
  <si>
    <t xml:space="preserve">Base casting stock: 356A aluminum, sand cast in PRL foundry. Base 12.00" x 5.50" x 0.50" per Base.step; QTY = pour weight in lb (see Assumptions)</t>
  </si>
  <si>
    <t xml:space="preserve">Base casting pattern (TOOLING ONLY, not in final product): PLA, 3D printed (~0.25 kg), 2 deg draft, machining allowance</t>
  </si>
  <si>
    <t xml:space="preserve">FABRICATED IN PRL  -  keys: 356A aluminum (cast blanks, then milled)</t>
  </si>
  <si>
    <t xml:space="preserve">Key blank casting stock: 356A aluminum, sand cast in PRL foundry. Two near-net profile bars: white-key bar 11.0" long (12 keys), black-key bar 4.2" long (8 keys); QTY = pour weight in lb</t>
  </si>
  <si>
    <t xml:space="preserve">Key bar casting patterns (TOOLING ONLY, not in final product): PLA, white + black profile bars, split at plate bottom (~0.20 kg)</t>
  </si>
  <si>
    <t xml:space="preserve">PURCHASED</t>
  </si>
  <si>
    <t xml:space="preserve">Key pivot rod: 303 stainless rotary shaft, 1/4" dia, finished length 11.00" (per pivot_rod.step). Retained with retaining compound in the blind hole (shop supply). Buy 12" length (McMaster has no 11"), cut to 11" on bandsaw and face/chamfer ends on lathe</t>
  </si>
  <si>
    <t xml:space="preserve">McMaster-Carr 1257K66</t>
  </si>
  <si>
    <t xml:space="preserve">Key spacers, thick: ring shim, 1/4" ID, 0.036" thick, 18-8 stainless (need 3: white-white gaps E-F, B-C, E-F)</t>
  </si>
  <si>
    <t xml:space="preserve">McMaster-Carr ring shims, 18-8 SS, 1/4" ID, 0.036" thick (pack)</t>
  </si>
  <si>
    <t xml:space="preserve">Key spacers, thin: ring shim, 1/4" ID, 0.018" thick, 18-8 stainless (need 16: both sides of each of 8 black keys)</t>
  </si>
  <si>
    <t xml:space="preserve">McMaster-Carr ring shims, 18-8 SS, 1/4" ID, 0.018" thick (pack)</t>
  </si>
  <si>
    <t xml:space="preserve">Display window: clear soda-lime float glass, 2.5 mm (0.098") thick, cut to 1.10" x 10.85" (sits in cast rabbet, clear RTV)</t>
  </si>
  <si>
    <t xml:space="preserve">Local glass / hardware shop, cut to size (stock: PSI 2.5 mm clear float glass, Ace Hardware mfr # 2.5MM30X42)</t>
  </si>
  <si>
    <t xml:space="preserve">Key felt pads: self-adhesive felt, 1" dia x 3/16" thick, beige, 16/pack; 20 needed (one per key), so 2 packs. Trim with scissors for black keys. Adhesive is pre-applied, no extra glue</t>
  </si>
  <si>
    <t xml:space="preserve">Master Caster 88496 Scratch Guard felt pads (pfstar.com)</t>
  </si>
  <si>
    <t xml:space="preserve">Fasteners: 4-40 socket head cap screw, 18-8 stainless, 1/4" long, Ø0.183" head (need 4). Length to confirm in CAD</t>
  </si>
  <si>
    <t xml:space="preserve">McMaster-Carr 92200A106 (pack of 10)</t>
  </si>
  <si>
    <t xml:space="preserve">Electronics (key sensors/switches, microcontroller, wiring) - later phase, not in this BOM</t>
  </si>
  <si>
    <t xml:space="preserve">TBD</t>
  </si>
  <si>
    <t xml:space="preserve">PROTOTYPES  (fill in materials used for Week 2-4 quick prototypes)</t>
  </si>
  <si>
    <t xml:space="preserve">[fill in] e.g. foam core / cardboard key mockup</t>
  </si>
  <si>
    <t xml:space="preserve">[fill in]</t>
  </si>
  <si>
    <t xml:space="preserve">[fill in] e.g. PLA test print of one key + rod</t>
  </si>
  <si>
    <t xml:space="preserve">Total----&gt;</t>
  </si>
  <si>
    <t xml:space="preserve">Notes</t>
  </si>
  <si>
    <t xml:space="preserve">Project budget cap: $130. Yellow cells are estimates or placeholders to confirm before ordering. Blue = typed inputs; black = formulas.</t>
  </si>
  <si>
    <t xml:space="preserve">McMaster part numbers are real; McMaster does not publish prices off its own site, so prices shown are estimates to check at mcmaster.com.</t>
  </si>
  <si>
    <t xml:space="preserve">Casting quantities (lb) are computed on the Assumptions tab from frame/blank volumes; replace the assumed heights/thicknesses with CAD values.</t>
  </si>
  <si>
    <t xml:space="preserve">Tools and cutters (end mills, 4-40 tap, drills, saw) are PRL shop tooling and are not listed.</t>
  </si>
  <si>
    <t xml:space="preserve">Assumptions &amp; weight estimates (update from CAD mass properties)</t>
  </si>
  <si>
    <t xml:space="preserve">Blue = input you can change. Yellow = estimate to verify before ordering.</t>
  </si>
  <si>
    <t xml:space="preserve">Frame (sand cast)</t>
  </si>
  <si>
    <t xml:space="preserve">Frame length</t>
  </si>
  <si>
    <t xml:space="preserve">in</t>
  </si>
  <si>
    <t xml:space="preserve">From Top_Part.step</t>
  </si>
  <si>
    <t xml:space="preserve">Frame width</t>
  </si>
  <si>
    <t xml:space="preserve">Frame height</t>
  </si>
  <si>
    <t xml:space="preserve">Wall / floor thickness</t>
  </si>
  <si>
    <t xml:space="preserve">Not used (see CAD volume)</t>
  </si>
  <si>
    <t xml:space="preserve">Frame cast blank volume (from CAD)</t>
  </si>
  <si>
    <t xml:space="preserve">in³</t>
  </si>
  <si>
    <t xml:space="preserve">Top_Part.step (10/21 upload) with cast glass rabbet + .060 machining stock, measured in CAD</t>
  </si>
  <si>
    <t xml:space="preserve">Pour factor (sprue, runner, riser)</t>
  </si>
  <si>
    <t xml:space="preserve">x</t>
  </si>
  <si>
    <t xml:space="preserve">ASSUMED</t>
  </si>
  <si>
    <t xml:space="preserve">Frame pour volume</t>
  </si>
  <si>
    <t xml:space="preserve">Key blanks (cast plates, then milled)</t>
  </si>
  <si>
    <t xml:space="preserve">White-key profile bar blank (from CAD)</t>
  </si>
  <si>
    <t xml:space="preserve">White key profile (2.57 in²) +.060 stock, 11.0 in long = 12 keys @ .800 + .100 saw/face allowance</t>
  </si>
  <si>
    <t xml:space="preserve">Black-key profile bar blank (from CAD)</t>
  </si>
  <si>
    <t xml:space="preserve">Black key profile (2.35 in²) +.060 stock, 4.2 in long = 8 keys @ .400 + .100 saw/face allowance</t>
  </si>
  <si>
    <t xml:space="preserve">Gating / riser factor</t>
  </si>
  <si>
    <t xml:space="preserve">ASSUMED (same as frame and base)</t>
  </si>
  <si>
    <t xml:space="preserve">Key pour volume</t>
  </si>
  <si>
    <t xml:space="preserve">Material</t>
  </si>
  <si>
    <t xml:space="preserve">356A aluminum density</t>
  </si>
  <si>
    <t xml:space="preserve">lb/in³</t>
  </si>
  <si>
    <t xml:space="preserve">160 lb/ft³ per Sculpture Supply A356 ingot listing</t>
  </si>
  <si>
    <t xml:space="preserve">356A price</t>
  </si>
  <si>
    <t xml:space="preserve">$/lb</t>
  </si>
  <si>
    <t xml:space="preserve">Given by Alex (PRL foundry aluminum)</t>
  </si>
  <si>
    <t xml:space="preserve">Results</t>
  </si>
  <si>
    <t xml:space="preserve">Frame pour weight, 356A</t>
  </si>
  <si>
    <t xml:space="preserve">lb</t>
  </si>
  <si>
    <t xml:space="preserve">Key pour weight, 356A</t>
  </si>
  <si>
    <t xml:space="preserve">Base (sand cast)</t>
  </si>
  <si>
    <t xml:space="preserve">Base cast blank volume (from CAD)</t>
  </si>
  <si>
    <t xml:space="preserve">Sheet_Metal_Base.step (10/21 upload) + .060 stock on bottom and pocket, measured in CAD</t>
  </si>
  <si>
    <t xml:space="preserve">Base pour weight, 356A</t>
  </si>
  <si>
    <t xml:space="preserve">Same pour factor as frame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</si>
</sst>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.00;&quot;($&quot;#,##0.00\);\-"/>
    <numFmt numFmtId="167" formatCode="\$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0"/>
      <charset val="1"/>
    </font>
    <font>
      <sz val="12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  <fill>
      <patternFill patternType="solid">
        <fgColor rgb="FFFFF2A8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7"/>
    <col collapsed="false" customWidth="true" hidden="false" outlineLevel="0" max="3" min="3" style="0" width="44"/>
    <col collapsed="false" customWidth="true" hidden="false" outlineLevel="0" max="6" min="4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/>
      <c r="D2" s="2"/>
      <c r="E2" s="2"/>
      <c r="F2" s="2"/>
    </row>
    <row r="3" customFormat="false" ht="15" hidden="false" customHeight="false" outlineLevel="0" collapsed="false">
      <c r="A3" s="2" t="s">
        <v>3</v>
      </c>
      <c r="B3" s="2" t="s">
        <v>4</v>
      </c>
      <c r="C3" s="2"/>
      <c r="D3" s="2"/>
      <c r="E3" s="2"/>
      <c r="F3" s="2"/>
    </row>
    <row r="5" customFormat="false" ht="31.5" hidden="false" customHeight="true" outlineLevel="0" collapsed="false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customFormat="false" ht="15" hidden="false" customHeight="false" outlineLevel="0" collapsed="false">
      <c r="A6" s="4" t="s">
        <v>11</v>
      </c>
      <c r="B6" s="5"/>
      <c r="C6" s="5"/>
      <c r="D6" s="5"/>
      <c r="E6" s="5"/>
      <c r="F6" s="5"/>
    </row>
    <row r="7" customFormat="false" ht="35.05" hidden="false" customHeight="false" outlineLevel="0" collapsed="false">
      <c r="A7" s="6" t="s">
        <v>12</v>
      </c>
      <c r="B7" s="7" t="n">
        <f aca="false">Assumptions!B21</f>
        <v>3</v>
      </c>
      <c r="C7" s="6" t="s">
        <v>13</v>
      </c>
      <c r="D7" s="8" t="n">
        <f aca="false">Assumptions!B19</f>
        <v>3.1</v>
      </c>
      <c r="E7" s="8" t="n">
        <f aca="false">B7*D7</f>
        <v>9.3</v>
      </c>
      <c r="F7" s="8" t="n">
        <v>0</v>
      </c>
    </row>
    <row r="8" customFormat="false" ht="23.85" hidden="false" customHeight="false" outlineLevel="0" collapsed="false">
      <c r="A8" s="6" t="s">
        <v>14</v>
      </c>
      <c r="B8" s="6" t="n">
        <v>0.3</v>
      </c>
      <c r="C8" s="6" t="s">
        <v>15</v>
      </c>
      <c r="D8" s="9" t="n">
        <v>20</v>
      </c>
      <c r="E8" s="8" t="n">
        <f aca="false">B8*D8</f>
        <v>6</v>
      </c>
      <c r="F8" s="8" t="n">
        <v>0</v>
      </c>
    </row>
    <row r="9" customFormat="false" ht="23.85" hidden="false" customHeight="false" outlineLevel="0" collapsed="false">
      <c r="A9" s="6" t="s">
        <v>16</v>
      </c>
      <c r="B9" s="6" t="n">
        <v>1</v>
      </c>
      <c r="C9" s="6" t="s">
        <v>17</v>
      </c>
      <c r="D9" s="10" t="n">
        <v>0</v>
      </c>
      <c r="E9" s="8" t="n">
        <v>0</v>
      </c>
      <c r="F9" s="8" t="n">
        <f aca="false">B9*D9</f>
        <v>0</v>
      </c>
    </row>
    <row r="10" customFormat="false" ht="15" hidden="false" customHeight="false" outlineLevel="0" collapsed="false">
      <c r="A10" s="4" t="s">
        <v>18</v>
      </c>
      <c r="B10" s="5"/>
      <c r="C10" s="5"/>
      <c r="D10" s="5"/>
      <c r="E10" s="5"/>
      <c r="F10" s="5"/>
    </row>
    <row r="11" customFormat="false" ht="23.85" hidden="false" customHeight="false" outlineLevel="0" collapsed="false">
      <c r="A11" s="6" t="s">
        <v>19</v>
      </c>
      <c r="B11" s="7" t="n">
        <f aca="false">Assumptions!B25</f>
        <v>4</v>
      </c>
      <c r="C11" s="6" t="s">
        <v>13</v>
      </c>
      <c r="D11" s="8" t="n">
        <f aca="false">Assumptions!B19</f>
        <v>3.1</v>
      </c>
      <c r="E11" s="8" t="n">
        <f aca="false">B11*D11</f>
        <v>12.4</v>
      </c>
      <c r="F11" s="8" t="n">
        <v>0</v>
      </c>
    </row>
    <row r="12" customFormat="false" ht="23.85" hidden="false" customHeight="false" outlineLevel="0" collapsed="false">
      <c r="A12" s="6" t="s">
        <v>20</v>
      </c>
      <c r="B12" s="6" t="n">
        <v>0.25</v>
      </c>
      <c r="C12" s="6" t="s">
        <v>15</v>
      </c>
      <c r="D12" s="9" t="n">
        <v>20</v>
      </c>
      <c r="E12" s="8" t="n">
        <f aca="false">B12*D12</f>
        <v>5</v>
      </c>
      <c r="F12" s="8" t="n">
        <v>0</v>
      </c>
    </row>
    <row r="13" customFormat="false" ht="15" hidden="false" customHeight="false" outlineLevel="0" collapsed="false">
      <c r="A13" s="4" t="s">
        <v>21</v>
      </c>
      <c r="B13" s="5"/>
      <c r="C13" s="5"/>
      <c r="D13" s="5"/>
      <c r="E13" s="5"/>
      <c r="F13" s="5"/>
    </row>
    <row r="14" customFormat="false" ht="35.05" hidden="false" customHeight="false" outlineLevel="0" collapsed="false">
      <c r="A14" s="6" t="s">
        <v>22</v>
      </c>
      <c r="B14" s="7" t="n">
        <f aca="false">Assumptions!B22</f>
        <v>7</v>
      </c>
      <c r="C14" s="6" t="s">
        <v>13</v>
      </c>
      <c r="D14" s="8" t="n">
        <f aca="false">Assumptions!B19</f>
        <v>3.1</v>
      </c>
      <c r="E14" s="8" t="n">
        <f aca="false">B14*D14</f>
        <v>21.7</v>
      </c>
      <c r="F14" s="8" t="n">
        <v>0</v>
      </c>
    </row>
    <row r="15" customFormat="false" ht="23.85" hidden="false" customHeight="false" outlineLevel="0" collapsed="false">
      <c r="A15" s="6" t="s">
        <v>23</v>
      </c>
      <c r="B15" s="6" t="n">
        <v>0.2</v>
      </c>
      <c r="C15" s="6" t="s">
        <v>15</v>
      </c>
      <c r="D15" s="9" t="n">
        <v>20</v>
      </c>
      <c r="E15" s="8" t="n">
        <f aca="false">B15*D15</f>
        <v>4</v>
      </c>
      <c r="F15" s="8" t="n">
        <v>0</v>
      </c>
    </row>
    <row r="16" customFormat="false" ht="15" hidden="false" customHeight="false" outlineLevel="0" collapsed="false">
      <c r="A16" s="4" t="s">
        <v>24</v>
      </c>
      <c r="B16" s="5"/>
      <c r="C16" s="5"/>
      <c r="D16" s="5"/>
      <c r="E16" s="5"/>
      <c r="F16" s="5"/>
    </row>
    <row r="17" customFormat="false" ht="46.25" hidden="false" customHeight="false" outlineLevel="0" collapsed="false">
      <c r="A17" s="6" t="s">
        <v>25</v>
      </c>
      <c r="B17" s="6" t="n">
        <v>1</v>
      </c>
      <c r="C17" s="6" t="s">
        <v>26</v>
      </c>
      <c r="D17" s="9" t="n">
        <v>7</v>
      </c>
      <c r="E17" s="8" t="n">
        <f aca="false">B17*D17</f>
        <v>7</v>
      </c>
      <c r="F17" s="8" t="n">
        <v>0</v>
      </c>
    </row>
    <row r="18" customFormat="false" ht="23.85" hidden="false" customHeight="false" outlineLevel="0" collapsed="false">
      <c r="A18" s="6" t="s">
        <v>27</v>
      </c>
      <c r="B18" s="6" t="n">
        <v>1</v>
      </c>
      <c r="C18" s="6" t="s">
        <v>28</v>
      </c>
      <c r="D18" s="9" t="n">
        <v>8</v>
      </c>
      <c r="E18" s="8" t="n">
        <f aca="false">B18*D18</f>
        <v>8</v>
      </c>
      <c r="F18" s="8" t="n">
        <v>0</v>
      </c>
    </row>
    <row r="19" customFormat="false" ht="23.85" hidden="false" customHeight="false" outlineLevel="0" collapsed="false">
      <c r="A19" s="6" t="s">
        <v>29</v>
      </c>
      <c r="B19" s="6" t="n">
        <v>1</v>
      </c>
      <c r="C19" s="6" t="s">
        <v>30</v>
      </c>
      <c r="D19" s="9" t="n">
        <v>8</v>
      </c>
      <c r="E19" s="8" t="n">
        <f aca="false">B19*D19</f>
        <v>8</v>
      </c>
      <c r="F19" s="8" t="n">
        <v>0</v>
      </c>
    </row>
    <row r="20" customFormat="false" ht="35.05" hidden="false" customHeight="false" outlineLevel="0" collapsed="false">
      <c r="A20" s="6" t="s">
        <v>31</v>
      </c>
      <c r="B20" s="6" t="n">
        <v>1</v>
      </c>
      <c r="C20" s="6" t="s">
        <v>32</v>
      </c>
      <c r="D20" s="9" t="n">
        <v>12</v>
      </c>
      <c r="E20" s="8" t="n">
        <f aca="false">B20*D20</f>
        <v>12</v>
      </c>
      <c r="F20" s="8" t="n">
        <v>0</v>
      </c>
    </row>
    <row r="21" customFormat="false" ht="35.05" hidden="false" customHeight="false" outlineLevel="0" collapsed="false">
      <c r="A21" s="6" t="s">
        <v>33</v>
      </c>
      <c r="B21" s="6" t="n">
        <v>2</v>
      </c>
      <c r="C21" s="6" t="s">
        <v>34</v>
      </c>
      <c r="D21" s="10" t="n">
        <v>3.89</v>
      </c>
      <c r="E21" s="8" t="n">
        <f aca="false">B21*D21</f>
        <v>7.78</v>
      </c>
      <c r="F21" s="8" t="n">
        <v>0</v>
      </c>
    </row>
    <row r="22" customFormat="false" ht="23.85" hidden="false" customHeight="false" outlineLevel="0" collapsed="false">
      <c r="A22" s="6" t="s">
        <v>35</v>
      </c>
      <c r="B22" s="6" t="n">
        <v>1</v>
      </c>
      <c r="C22" s="6" t="s">
        <v>36</v>
      </c>
      <c r="D22" s="10" t="n">
        <v>3.66</v>
      </c>
      <c r="E22" s="8" t="n">
        <f aca="false">B22*D22</f>
        <v>3.66</v>
      </c>
      <c r="F22" s="8" t="n">
        <v>0</v>
      </c>
    </row>
    <row r="23" customFormat="false" ht="23.85" hidden="false" customHeight="false" outlineLevel="0" collapsed="false">
      <c r="A23" s="6" t="s">
        <v>37</v>
      </c>
      <c r="B23" s="6" t="n">
        <v>0</v>
      </c>
      <c r="C23" s="6" t="s">
        <v>38</v>
      </c>
      <c r="D23" s="10" t="n">
        <v>0</v>
      </c>
      <c r="E23" s="8" t="n">
        <f aca="false">B23*D23</f>
        <v>0</v>
      </c>
      <c r="F23" s="8" t="n">
        <v>0</v>
      </c>
    </row>
    <row r="24" customFormat="false" ht="15" hidden="false" customHeight="false" outlineLevel="0" collapsed="false">
      <c r="A24" s="4" t="s">
        <v>39</v>
      </c>
      <c r="B24" s="5"/>
      <c r="C24" s="5"/>
      <c r="D24" s="5"/>
      <c r="E24" s="5"/>
      <c r="F24" s="5"/>
    </row>
    <row r="25" customFormat="false" ht="15" hidden="false" customHeight="false" outlineLevel="0" collapsed="false">
      <c r="A25" s="11" t="s">
        <v>40</v>
      </c>
      <c r="B25" s="6" t="n">
        <v>1</v>
      </c>
      <c r="C25" s="11" t="s">
        <v>41</v>
      </c>
      <c r="D25" s="9" t="n">
        <v>0</v>
      </c>
      <c r="E25" s="8" t="n">
        <v>0</v>
      </c>
      <c r="F25" s="8" t="n">
        <f aca="false">B25*D25</f>
        <v>0</v>
      </c>
    </row>
    <row r="26" customFormat="false" ht="15" hidden="false" customHeight="false" outlineLevel="0" collapsed="false">
      <c r="A26" s="11" t="s">
        <v>42</v>
      </c>
      <c r="B26" s="6" t="n">
        <v>1</v>
      </c>
      <c r="C26" s="11" t="s">
        <v>41</v>
      </c>
      <c r="D26" s="9" t="n">
        <v>0</v>
      </c>
      <c r="E26" s="8" t="n">
        <v>0</v>
      </c>
      <c r="F26" s="8" t="n">
        <f aca="false">B26*D26</f>
        <v>0</v>
      </c>
    </row>
    <row r="27" customFormat="false" ht="30" hidden="false" customHeight="true" outlineLevel="0" collapsed="false">
      <c r="A27" s="12"/>
      <c r="B27" s="12"/>
      <c r="C27" s="12"/>
      <c r="D27" s="13" t="s">
        <v>43</v>
      </c>
      <c r="E27" s="14" t="n">
        <f aca="false">E7+E8+E9+E11+E12+E15+E17+E18+E19+E20+E21+E22+E23+E25+E26+E14</f>
        <v>104.84</v>
      </c>
      <c r="F27" s="14" t="n">
        <f aca="false">F7+F8+F9+F11+F12+F15+F17+F18+F19+F20+F21+F22+F23+F25+F26+F14</f>
        <v>0</v>
      </c>
    </row>
    <row r="29" customFormat="false" ht="15" hidden="false" customHeight="false" outlineLevel="0" collapsed="false">
      <c r="A29" s="15" t="s">
        <v>44</v>
      </c>
    </row>
    <row r="30" customFormat="false" ht="15" hidden="false" customHeight="false" outlineLevel="0" collapsed="false">
      <c r="A30" s="16" t="s">
        <v>45</v>
      </c>
    </row>
    <row r="31" customFormat="false" ht="15" hidden="false" customHeight="false" outlineLevel="0" collapsed="false">
      <c r="A31" s="16" t="s">
        <v>46</v>
      </c>
    </row>
    <row r="32" customFormat="false" ht="15" hidden="false" customHeight="false" outlineLevel="0" collapsed="false">
      <c r="A32" s="16" t="s">
        <v>47</v>
      </c>
    </row>
    <row r="33" customFormat="false" ht="15" hidden="false" customHeight="false" outlineLevel="0" collapsed="false">
      <c r="A33" s="16" t="s">
        <v>48</v>
      </c>
    </row>
  </sheetData>
  <mergeCells count="3">
    <mergeCell ref="B2:F2"/>
    <mergeCell ref="B3:F3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7" t="s">
        <v>49</v>
      </c>
    </row>
    <row r="2" customFormat="false" ht="15" hidden="false" customHeight="false" outlineLevel="0" collapsed="false">
      <c r="A2" s="16" t="s">
        <v>50</v>
      </c>
    </row>
    <row r="4" customFormat="false" ht="15" hidden="false" customHeight="false" outlineLevel="0" collapsed="false">
      <c r="A4" s="18" t="s">
        <v>51</v>
      </c>
      <c r="B4" s="19"/>
      <c r="C4" s="19"/>
      <c r="D4" s="19"/>
    </row>
    <row r="5" customFormat="false" ht="15" hidden="false" customHeight="false" outlineLevel="0" collapsed="false">
      <c r="A5" s="20" t="s">
        <v>52</v>
      </c>
      <c r="B5" s="21" t="n">
        <v>12</v>
      </c>
      <c r="C5" s="20" t="s">
        <v>53</v>
      </c>
      <c r="D5" s="22" t="s">
        <v>54</v>
      </c>
    </row>
    <row r="6" customFormat="false" ht="15" hidden="false" customHeight="false" outlineLevel="0" collapsed="false">
      <c r="A6" s="20" t="s">
        <v>55</v>
      </c>
      <c r="B6" s="21" t="n">
        <v>5.5</v>
      </c>
      <c r="C6" s="20" t="s">
        <v>53</v>
      </c>
      <c r="D6" s="22" t="s">
        <v>54</v>
      </c>
    </row>
    <row r="7" customFormat="false" ht="15" hidden="false" customHeight="false" outlineLevel="0" collapsed="false">
      <c r="A7" s="20" t="s">
        <v>56</v>
      </c>
      <c r="B7" s="21" t="n">
        <v>1.5</v>
      </c>
      <c r="C7" s="20" t="s">
        <v>53</v>
      </c>
      <c r="D7" s="22" t="s">
        <v>54</v>
      </c>
    </row>
    <row r="8" customFormat="false" ht="15" hidden="false" customHeight="false" outlineLevel="0" collapsed="false">
      <c r="A8" s="20" t="s">
        <v>57</v>
      </c>
      <c r="B8" s="21" t="n">
        <v>0.25</v>
      </c>
      <c r="C8" s="20" t="s">
        <v>53</v>
      </c>
      <c r="D8" s="22" t="s">
        <v>58</v>
      </c>
    </row>
    <row r="9" customFormat="false" ht="15" hidden="false" customHeight="false" outlineLevel="0" collapsed="false">
      <c r="A9" s="20" t="s">
        <v>59</v>
      </c>
      <c r="B9" s="21" t="n">
        <v>16.152</v>
      </c>
      <c r="C9" s="20" t="s">
        <v>60</v>
      </c>
      <c r="D9" s="22" t="s">
        <v>61</v>
      </c>
    </row>
    <row r="10" customFormat="false" ht="15" hidden="false" customHeight="false" outlineLevel="0" collapsed="false">
      <c r="A10" s="20" t="s">
        <v>62</v>
      </c>
      <c r="B10" s="23" t="n">
        <v>1.5</v>
      </c>
      <c r="C10" s="20" t="s">
        <v>63</v>
      </c>
      <c r="D10" s="22" t="s">
        <v>64</v>
      </c>
    </row>
    <row r="11" customFormat="false" ht="15" hidden="false" customHeight="false" outlineLevel="0" collapsed="false">
      <c r="A11" s="20" t="s">
        <v>65</v>
      </c>
      <c r="B11" s="24" t="n">
        <f aca="false">B9*B10</f>
        <v>24.228</v>
      </c>
      <c r="C11" s="20" t="s">
        <v>60</v>
      </c>
      <c r="D11" s="22"/>
    </row>
    <row r="12" customFormat="false" ht="15" hidden="false" customHeight="false" outlineLevel="0" collapsed="false">
      <c r="A12" s="18" t="s">
        <v>66</v>
      </c>
      <c r="B12" s="19"/>
      <c r="C12" s="19"/>
      <c r="D12" s="19"/>
    </row>
    <row r="13" customFormat="false" ht="15" hidden="false" customHeight="false" outlineLevel="0" collapsed="false">
      <c r="A13" s="20" t="s">
        <v>67</v>
      </c>
      <c r="B13" s="21" t="n">
        <v>36.46</v>
      </c>
      <c r="C13" s="20" t="s">
        <v>60</v>
      </c>
      <c r="D13" s="22" t="s">
        <v>68</v>
      </c>
    </row>
    <row r="14" customFormat="false" ht="15" hidden="false" customHeight="false" outlineLevel="0" collapsed="false">
      <c r="A14" s="20" t="s">
        <v>69</v>
      </c>
      <c r="B14" s="21" t="n">
        <v>12.5</v>
      </c>
      <c r="C14" s="20" t="s">
        <v>60</v>
      </c>
      <c r="D14" s="22" t="s">
        <v>70</v>
      </c>
    </row>
    <row r="15" customFormat="false" ht="15" hidden="false" customHeight="false" outlineLevel="0" collapsed="false">
      <c r="A15" s="20" t="s">
        <v>71</v>
      </c>
      <c r="B15" s="23" t="n">
        <v>1.5</v>
      </c>
      <c r="C15" s="20" t="s">
        <v>63</v>
      </c>
      <c r="D15" s="22" t="s">
        <v>72</v>
      </c>
    </row>
    <row r="16" customFormat="false" ht="15" hidden="false" customHeight="false" outlineLevel="0" collapsed="false">
      <c r="A16" s="20" t="s">
        <v>73</v>
      </c>
      <c r="B16" s="24" t="n">
        <f aca="false">(B13+B14)*B15</f>
        <v>73.44</v>
      </c>
      <c r="C16" s="20" t="s">
        <v>60</v>
      </c>
      <c r="D16" s="22"/>
    </row>
    <row r="17" customFormat="false" ht="15" hidden="false" customHeight="false" outlineLevel="0" collapsed="false">
      <c r="A17" s="18" t="s">
        <v>74</v>
      </c>
      <c r="B17" s="19"/>
      <c r="C17" s="19"/>
      <c r="D17" s="19"/>
    </row>
    <row r="18" customFormat="false" ht="15" hidden="false" customHeight="false" outlineLevel="0" collapsed="false">
      <c r="A18" s="20" t="s">
        <v>75</v>
      </c>
      <c r="B18" s="24" t="n">
        <f aca="false">160/1728</f>
        <v>0.0925925925925926</v>
      </c>
      <c r="C18" s="20" t="s">
        <v>76</v>
      </c>
      <c r="D18" s="22" t="s">
        <v>77</v>
      </c>
    </row>
    <row r="19" customFormat="false" ht="15" hidden="false" customHeight="false" outlineLevel="0" collapsed="false">
      <c r="A19" s="20" t="s">
        <v>78</v>
      </c>
      <c r="B19" s="25" t="n">
        <v>3.1</v>
      </c>
      <c r="C19" s="20" t="s">
        <v>79</v>
      </c>
      <c r="D19" s="22" t="s">
        <v>80</v>
      </c>
    </row>
    <row r="20" customFormat="false" ht="15" hidden="false" customHeight="false" outlineLevel="0" collapsed="false">
      <c r="A20" s="18" t="s">
        <v>81</v>
      </c>
      <c r="B20" s="19"/>
      <c r="C20" s="19"/>
      <c r="D20" s="19"/>
    </row>
    <row r="21" customFormat="false" ht="15" hidden="false" customHeight="false" outlineLevel="0" collapsed="false">
      <c r="A21" s="20" t="s">
        <v>82</v>
      </c>
      <c r="B21" s="24" t="n">
        <f aca="false">ROUNDUP(B11*B18,0)</f>
        <v>3</v>
      </c>
      <c r="C21" s="20" t="s">
        <v>83</v>
      </c>
      <c r="D21" s="22"/>
    </row>
    <row r="22" customFormat="false" ht="15" hidden="false" customHeight="false" outlineLevel="0" collapsed="false">
      <c r="A22" s="20" t="s">
        <v>84</v>
      </c>
      <c r="B22" s="24" t="n">
        <f aca="false">ROUNDUP(B16*B18,0)</f>
        <v>7</v>
      </c>
      <c r="C22" s="20" t="s">
        <v>83</v>
      </c>
      <c r="D22" s="22"/>
    </row>
    <row r="23" customFormat="false" ht="15" hidden="false" customHeight="false" outlineLevel="0" collapsed="false">
      <c r="A23" s="18" t="s">
        <v>85</v>
      </c>
      <c r="B23" s="19"/>
      <c r="C23" s="19"/>
      <c r="D23" s="19"/>
    </row>
    <row r="24" customFormat="false" ht="15" hidden="false" customHeight="false" outlineLevel="0" collapsed="false">
      <c r="A24" s="20" t="s">
        <v>86</v>
      </c>
      <c r="B24" s="21" t="n">
        <v>25.642</v>
      </c>
      <c r="C24" s="20" t="s">
        <v>60</v>
      </c>
      <c r="D24" s="22" t="s">
        <v>87</v>
      </c>
    </row>
    <row r="25" customFormat="false" ht="15" hidden="false" customHeight="false" outlineLevel="0" collapsed="false">
      <c r="A25" s="20" t="s">
        <v>88</v>
      </c>
      <c r="B25" s="24" t="n">
        <f aca="false">ROUNDUP(B24*B10*B18,0)</f>
        <v>4</v>
      </c>
      <c r="C25" s="20" t="s">
        <v>83</v>
      </c>
      <c r="D25" s="2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2026-10-21T20:40:12Z</dcterms:created>
  <dc:creator>openpyxl</dc:creator>
  <dc:description/>
  <dc:language>en-US</dc:language>
  <cp:lastModifiedBy/>
  <dcterms:modified xsi:type="dcterms:W3CDTF">2026-10-21T20:40:12Z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